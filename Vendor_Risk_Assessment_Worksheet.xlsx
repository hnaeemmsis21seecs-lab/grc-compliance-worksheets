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coring Reference" sheetId="2" state="visible" r:id="rId4"/>
    <sheet name="Vendor Risk Assessmen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<sst xmlns="http://schemas.openxmlformats.org/spreadsheetml/2006/main" count="87" uniqueCount="73">
  <si>
    <t xml:space="preserve">Third-Party Vendor Risk Assessment Worksheet — Instructions</t>
  </si>
  <si>
    <t xml:space="preserve">1. Go to the 'Vendor Risk Assessment' tab and fill in the vendor info block at the top (name, date, assessor, contract dates).</t>
  </si>
  <si>
    <t xml:space="preserve">2. For each question, select a Risk Rating from 1 (low risk) to 5 (critical risk) using the dropdown in column C.</t>
  </si>
  <si>
    <t xml:space="preserve">   Refer to the 'Scoring Reference' tab for the definition of each rating level.</t>
  </si>
  <si>
    <t xml:space="preserve">3. Use the Assessor Notes / Evidence column to record what supports the rating (e.g., SOC 2 report reviewed, questionnaire response).</t>
  </si>
  <si>
    <t xml:space="preserve">4. The Weight and Weighted Score columns calculate automatically — do not edit them.</t>
  </si>
  <si>
    <t xml:space="preserve">5. The Summary section at the bottom of the assessment tab automatically calculates:</t>
  </si>
  <si>
    <t xml:space="preserve">   - Average rating per category</t>
  </si>
  <si>
    <t xml:space="preserve">   - Overall weighted risk score (1-5 scale)</t>
  </si>
  <si>
    <t xml:space="preserve">   - Resulting Risk Tier (Low / Medium / High / Critical), color-coded</t>
  </si>
  <si>
    <t xml:space="preserve">6. Category weights and tier thresholds can be recalibrated on the 'Scoring Reference' tab if your organization's</t>
  </si>
  <si>
    <t xml:space="preserve">   methodology differs — weights must sum to 100%.</t>
  </si>
  <si>
    <t xml:space="preserve">7. Duplicate the 'Vendor Risk Assessment' tab (right-click the tab &gt; Move or Copy &gt; Create a copy) for each</t>
  </si>
  <si>
    <t xml:space="preserve">   additional vendor being assessed.</t>
  </si>
  <si>
    <t xml:space="preserve">Note: This worksheet assesses inherent risk based on assessor judgment and available evidence. It is a decision-support</t>
  </si>
  <si>
    <t xml:space="preserve">tool, not a substitute for independent verification (e.g., reviewing actual SOC reports, contracts, and financial filings).</t>
  </si>
  <si>
    <t xml:space="preserve">Scoring Reference (do not edit unless recalibrating methodology)</t>
  </si>
  <si>
    <t xml:space="preserve">Category Weights</t>
  </si>
  <si>
    <t xml:space="preserve">Security</t>
  </si>
  <si>
    <t xml:space="preserve">Data Sensitivity / Compliance</t>
  </si>
  <si>
    <t xml:space="preserve">Operational / Business Continuity</t>
  </si>
  <si>
    <t xml:space="preserve">Financial Stability</t>
  </si>
  <si>
    <t xml:space="preserve">Reputational</t>
  </si>
  <si>
    <t xml:space="preserve">Total</t>
  </si>
  <si>
    <t xml:space="preserve">Risk Rating Scale (per question)</t>
  </si>
  <si>
    <t xml:space="preserve">Low risk — fully meets expectation</t>
  </si>
  <si>
    <t xml:space="preserve">Low-Moderate risk — minor gap</t>
  </si>
  <si>
    <t xml:space="preserve">Moderate risk — partial gap, needs follow-up</t>
  </si>
  <si>
    <t xml:space="preserve">High risk — significant gap</t>
  </si>
  <si>
    <t xml:space="preserve">Critical risk — control absent or unknown</t>
  </si>
  <si>
    <t xml:space="preserve">Overall Risk Tier Thresholds (weighted score, 1-5 scale)</t>
  </si>
  <si>
    <t xml:space="preserve">Min Score</t>
  </si>
  <si>
    <t xml:space="preserve">Max Score</t>
  </si>
  <si>
    <t xml:space="preserve">Tier</t>
  </si>
  <si>
    <t xml:space="preserve">Low</t>
  </si>
  <si>
    <t xml:space="preserve">Medium</t>
  </si>
  <si>
    <t xml:space="preserve">High</t>
  </si>
  <si>
    <t xml:space="preserve">Critical</t>
  </si>
  <si>
    <t xml:space="preserve">Third-Party Vendor Risk Assessment Worksheet</t>
  </si>
  <si>
    <t xml:space="preserve">Vendor Name:</t>
  </si>
  <si>
    <t xml:space="preserve">Assessment Date:</t>
  </si>
  <si>
    <t xml:space="preserve">Assessed By:</t>
  </si>
  <si>
    <t xml:space="preserve">Vendor Risk Tier (preliminary):</t>
  </si>
  <si>
    <t xml:space="preserve">Contract / Renewal Date:</t>
  </si>
  <si>
    <t xml:space="preserve">Q#</t>
  </si>
  <si>
    <t xml:space="preserve">Question</t>
  </si>
  <si>
    <t xml:space="preserve">Risk Rating (1-5)</t>
  </si>
  <si>
    <t xml:space="preserve">Weight (auto)</t>
  </si>
  <si>
    <t xml:space="preserve">Weighted Score</t>
  </si>
  <si>
    <t xml:space="preserve">Assessor Notes / Evidence</t>
  </si>
  <si>
    <t xml:space="preserve">Does the vendor have a formal, documented information security policy?</t>
  </si>
  <si>
    <t xml:space="preserve">Does the vendor encrypt sensitive data at rest and in transit?</t>
  </si>
  <si>
    <t xml:space="preserve">Does the vendor enforce MFA for administrative/remote access to systems handling your data?</t>
  </si>
  <si>
    <t xml:space="preserve">Does the vendor perform regular vulnerability scanning and penetration testing?</t>
  </si>
  <si>
    <t xml:space="preserve">Does the vendor have a documented, tested incident response plan?</t>
  </si>
  <si>
    <t xml:space="preserve">Does the vendor provide a current SOC 2 Type II report or equivalent (e.g., ISO 27001)?</t>
  </si>
  <si>
    <t xml:space="preserve">Does the vendor process personally identifiable information (PII) or other regulated data?</t>
  </si>
  <si>
    <t xml:space="preserve">Is the vendor compliant with relevant regulations (e.g., GDPR, HIPAA, PCI-DSS) for the data it processes?</t>
  </si>
  <si>
    <t xml:space="preserve">Does the vendor disclose data residency/storage locations?</t>
  </si>
  <si>
    <t xml:space="preserve">Does the vendor have a documented data retention and secure destruction policy?</t>
  </si>
  <si>
    <t xml:space="preserve">Are the vendor's subprocessors/subcontractors identified and contractually bound to equivalent protections?</t>
  </si>
  <si>
    <t xml:space="preserve">Does the vendor have a documented business continuity / disaster recovery plan?</t>
  </si>
  <si>
    <t xml:space="preserve">Has the vendor tested its BCP/DR plan within the last 12 months?</t>
  </si>
  <si>
    <t xml:space="preserve">Does the vendor have redundancy to avoid single points of failure for critical services?</t>
  </si>
  <si>
    <t xml:space="preserve">What is the vendor's historical uptime/SLA performance?</t>
  </si>
  <si>
    <t xml:space="preserve">Is the vendor financially stable (no material solvency concerns, adverse credit signals)?</t>
  </si>
  <si>
    <t xml:space="preserve">Does the vendor have a healthy diversification of clients (not overly dependent on one client/industry)?</t>
  </si>
  <si>
    <t xml:space="preserve">Has the vendor experienced any publicly reported data breaches or major incidents in the last 3 years?</t>
  </si>
  <si>
    <t xml:space="preserve">Does the vendor have negative public/regulatory findings (fines, sanctions, litigation) relevant to this engagement?</t>
  </si>
  <si>
    <t xml:space="preserve">Summary</t>
  </si>
  <si>
    <t xml:space="preserve">Avg. rating</t>
  </si>
  <si>
    <t xml:space="preserve">Overall Weighted Risk Score</t>
  </si>
  <si>
    <t xml:space="preserve">Resulting Risk Tier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</si>
</sst>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%"/>
    <numFmt numFmtId="167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25.5" hidden="false" customHeight="true" outlineLevel="0" collapsed="false">
      <c r="A1" s="2" t="s">
        <v>0</v>
      </c>
    </row>
    <row r="3" customFormat="false" ht="15.75" hidden="false" customHeight="true" outlineLevel="0" collapsed="false">
      <c r="A3" s="3"/>
    </row>
    <row r="4" customFormat="false" ht="15.75" hidden="false" customHeight="true" outlineLevel="0" collapsed="false">
      <c r="A4" s="4" t="s">
        <v>1</v>
      </c>
    </row>
    <row r="5" customFormat="false" ht="15.75" hidden="false" customHeight="true" outlineLevel="0" collapsed="false">
      <c r="A5" s="4" t="s">
        <v>2</v>
      </c>
    </row>
    <row r="6" customFormat="false" ht="15.75" hidden="false" customHeight="true" outlineLevel="0" collapsed="false">
      <c r="A6" s="3" t="s">
        <v>3</v>
      </c>
    </row>
    <row r="7" customFormat="false" ht="15.75" hidden="false" customHeight="true" outlineLevel="0" collapsed="false">
      <c r="A7" s="4" t="s">
        <v>4</v>
      </c>
    </row>
    <row r="8" customFormat="false" ht="15.75" hidden="false" customHeight="true" outlineLevel="0" collapsed="false">
      <c r="A8" s="4" t="s">
        <v>5</v>
      </c>
    </row>
    <row r="9" customFormat="false" ht="15.75" hidden="false" customHeight="true" outlineLevel="0" collapsed="false">
      <c r="A9" s="4" t="s">
        <v>6</v>
      </c>
    </row>
    <row r="10" customFormat="false" ht="15.75" hidden="false" customHeight="true" outlineLevel="0" collapsed="false">
      <c r="A10" s="3" t="s">
        <v>7</v>
      </c>
    </row>
    <row r="11" customFormat="false" ht="15.75" hidden="false" customHeight="true" outlineLevel="0" collapsed="false">
      <c r="A11" s="3" t="s">
        <v>8</v>
      </c>
    </row>
    <row r="12" customFormat="false" ht="15.75" hidden="false" customHeight="true" outlineLevel="0" collapsed="false">
      <c r="A12" s="3" t="s">
        <v>9</v>
      </c>
    </row>
    <row r="13" customFormat="false" ht="15.75" hidden="false" customHeight="true" outlineLevel="0" collapsed="false">
      <c r="A13" s="4" t="s">
        <v>10</v>
      </c>
    </row>
    <row r="14" customFormat="false" ht="15.75" hidden="false" customHeight="true" outlineLevel="0" collapsed="false">
      <c r="A14" s="3" t="s">
        <v>11</v>
      </c>
    </row>
    <row r="15" customFormat="false" ht="15.75" hidden="false" customHeight="true" outlineLevel="0" collapsed="false">
      <c r="A15" s="4" t="s">
        <v>12</v>
      </c>
    </row>
    <row r="16" customFormat="false" ht="15.75" hidden="false" customHeight="true" outlineLevel="0" collapsed="false">
      <c r="A16" s="3" t="s">
        <v>13</v>
      </c>
    </row>
    <row r="17" customFormat="false" ht="15.75" hidden="false" customHeight="true" outlineLevel="0" collapsed="false">
      <c r="A17" s="3"/>
    </row>
    <row r="18" customFormat="false" ht="15.75" hidden="false" customHeight="true" outlineLevel="0" collapsed="false">
      <c r="A18" s="3" t="s">
        <v>14</v>
      </c>
    </row>
    <row r="19" customFormat="false" ht="15.75" hidden="false" customHeight="true" outlineLevel="0" collapsed="false">
      <c r="A19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40"/>
  </cols>
  <sheetData>
    <row r="1" customFormat="false" ht="21.75" hidden="false" customHeight="true" outlineLevel="0" collapsed="false">
      <c r="A1" s="5" t="s">
        <v>16</v>
      </c>
      <c r="B1" s="5"/>
      <c r="C1" s="5"/>
    </row>
    <row r="3" customFormat="false" ht="15" hidden="false" customHeight="true" outlineLevel="0" collapsed="false">
      <c r="A3" s="6" t="s">
        <v>17</v>
      </c>
    </row>
    <row r="4" customFormat="false" ht="15" hidden="false" customHeight="true" outlineLevel="0" collapsed="false">
      <c r="A4" s="7" t="s">
        <v>18</v>
      </c>
      <c r="B4" s="8" t="n">
        <v>0.3</v>
      </c>
    </row>
    <row r="5" customFormat="false" ht="15" hidden="false" customHeight="true" outlineLevel="0" collapsed="false">
      <c r="A5" s="7" t="s">
        <v>19</v>
      </c>
      <c r="B5" s="8" t="n">
        <v>0.25</v>
      </c>
    </row>
    <row r="6" customFormat="false" ht="15" hidden="false" customHeight="true" outlineLevel="0" collapsed="false">
      <c r="A6" s="7" t="s">
        <v>20</v>
      </c>
      <c r="B6" s="8" t="n">
        <v>0.2</v>
      </c>
    </row>
    <row r="7" customFormat="false" ht="15" hidden="false" customHeight="true" outlineLevel="0" collapsed="false">
      <c r="A7" s="7" t="s">
        <v>21</v>
      </c>
      <c r="B7" s="8" t="n">
        <v>0.15</v>
      </c>
    </row>
    <row r="8" customFormat="false" ht="15" hidden="false" customHeight="true" outlineLevel="0" collapsed="false">
      <c r="A8" s="7" t="s">
        <v>22</v>
      </c>
      <c r="B8" s="8" t="n">
        <v>0.1</v>
      </c>
    </row>
    <row r="9" customFormat="false" ht="15" hidden="false" customHeight="true" outlineLevel="0" collapsed="false">
      <c r="A9" s="6" t="s">
        <v>23</v>
      </c>
      <c r="B9" s="9" t="n">
        <f aca="false">SUM(B4:B8)</f>
        <v>1</v>
      </c>
    </row>
    <row r="11" customFormat="false" ht="15" hidden="false" customHeight="true" outlineLevel="0" collapsed="false">
      <c r="A11" s="6" t="s">
        <v>24</v>
      </c>
    </row>
    <row r="12" customFormat="false" ht="15" hidden="false" customHeight="true" outlineLevel="0" collapsed="false">
      <c r="A12" s="7" t="n">
        <v>1</v>
      </c>
      <c r="B12" s="10" t="s">
        <v>25</v>
      </c>
      <c r="C12" s="10"/>
    </row>
    <row r="13" customFormat="false" ht="15" hidden="false" customHeight="true" outlineLevel="0" collapsed="false">
      <c r="A13" s="7" t="n">
        <v>2</v>
      </c>
      <c r="B13" s="10" t="s">
        <v>26</v>
      </c>
      <c r="C13" s="10"/>
    </row>
    <row r="14" customFormat="false" ht="15" hidden="false" customHeight="true" outlineLevel="0" collapsed="false">
      <c r="A14" s="7" t="n">
        <v>3</v>
      </c>
      <c r="B14" s="10" t="s">
        <v>27</v>
      </c>
      <c r="C14" s="10"/>
    </row>
    <row r="15" customFormat="false" ht="15" hidden="false" customHeight="true" outlineLevel="0" collapsed="false">
      <c r="A15" s="7" t="n">
        <v>4</v>
      </c>
      <c r="B15" s="10" t="s">
        <v>28</v>
      </c>
      <c r="C15" s="10"/>
    </row>
    <row r="16" customFormat="false" ht="15" hidden="false" customHeight="true" outlineLevel="0" collapsed="false">
      <c r="A16" s="7" t="n">
        <v>5</v>
      </c>
      <c r="B16" s="10" t="s">
        <v>29</v>
      </c>
      <c r="C16" s="10"/>
    </row>
    <row r="18" customFormat="false" ht="15" hidden="false" customHeight="true" outlineLevel="0" collapsed="false">
      <c r="A18" s="6" t="s">
        <v>30</v>
      </c>
    </row>
    <row r="19" customFormat="false" ht="15" hidden="false" customHeight="true" outlineLevel="0" collapsed="false">
      <c r="A19" s="11" t="s">
        <v>31</v>
      </c>
      <c r="B19" s="11" t="s">
        <v>32</v>
      </c>
      <c r="C19" s="11" t="s">
        <v>33</v>
      </c>
    </row>
    <row r="20" customFormat="false" ht="15" hidden="false" customHeight="true" outlineLevel="0" collapsed="false">
      <c r="A20" s="12" t="n">
        <v>1</v>
      </c>
      <c r="B20" s="12" t="n">
        <v>1.79</v>
      </c>
      <c r="C20" s="12" t="s">
        <v>34</v>
      </c>
    </row>
    <row r="21" customFormat="false" ht="15" hidden="false" customHeight="true" outlineLevel="0" collapsed="false">
      <c r="A21" s="12" t="n">
        <v>1.8</v>
      </c>
      <c r="B21" s="12" t="n">
        <v>2.59</v>
      </c>
      <c r="C21" s="12" t="s">
        <v>35</v>
      </c>
    </row>
    <row r="22" customFormat="false" ht="15" hidden="false" customHeight="true" outlineLevel="0" collapsed="false">
      <c r="A22" s="12" t="n">
        <v>2.6</v>
      </c>
      <c r="B22" s="12" t="n">
        <v>3.79</v>
      </c>
      <c r="C22" s="12" t="s">
        <v>36</v>
      </c>
    </row>
    <row r="23" customFormat="false" ht="15" hidden="false" customHeight="true" outlineLevel="0" collapsed="false">
      <c r="A23" s="12" t="n">
        <v>3.8</v>
      </c>
      <c r="B23" s="12" t="n">
        <v>5</v>
      </c>
      <c r="C23" s="12" t="s">
        <v>37</v>
      </c>
    </row>
  </sheetData>
  <mergeCells count="6">
    <mergeCell ref="A1:C1"/>
    <mergeCell ref="B12:C12"/>
    <mergeCell ref="B13:C13"/>
    <mergeCell ref="B14:C14"/>
    <mergeCell ref="B15:C15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2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40"/>
  </cols>
  <sheetData>
    <row r="1" customFormat="false" ht="24" hidden="false" customHeight="true" outlineLevel="0" collapsed="false">
      <c r="A1" s="13" t="s">
        <v>38</v>
      </c>
      <c r="B1" s="13"/>
      <c r="C1" s="13"/>
      <c r="D1" s="13"/>
      <c r="E1" s="13"/>
      <c r="F1" s="13"/>
    </row>
    <row r="3" customFormat="false" ht="18" hidden="false" customHeight="true" outlineLevel="0" collapsed="false">
      <c r="A3" s="6" t="s">
        <v>39</v>
      </c>
      <c r="B3" s="14"/>
      <c r="C3" s="14"/>
    </row>
    <row r="4" customFormat="false" ht="18" hidden="false" customHeight="true" outlineLevel="0" collapsed="false">
      <c r="A4" s="6" t="s">
        <v>40</v>
      </c>
      <c r="B4" s="14"/>
      <c r="C4" s="14"/>
    </row>
    <row r="5" customFormat="false" ht="18" hidden="false" customHeight="true" outlineLevel="0" collapsed="false">
      <c r="A5" s="6" t="s">
        <v>41</v>
      </c>
      <c r="B5" s="14"/>
      <c r="C5" s="14"/>
    </row>
    <row r="6" customFormat="false" ht="18" hidden="false" customHeight="true" outlineLevel="0" collapsed="false">
      <c r="A6" s="6" t="s">
        <v>42</v>
      </c>
      <c r="B6" s="14"/>
      <c r="C6" s="14"/>
    </row>
    <row r="7" customFormat="false" ht="18" hidden="false" customHeight="true" outlineLevel="0" collapsed="false">
      <c r="A7" s="6" t="s">
        <v>43</v>
      </c>
      <c r="B7" s="14"/>
      <c r="C7" s="14"/>
    </row>
    <row r="9" customFormat="false" ht="30" hidden="false" customHeight="true" outlineLevel="0" collapsed="false">
      <c r="A9" s="11" t="s">
        <v>44</v>
      </c>
      <c r="B9" s="11" t="s">
        <v>45</v>
      </c>
      <c r="C9" s="11" t="s">
        <v>46</v>
      </c>
      <c r="D9" s="11" t="s">
        <v>47</v>
      </c>
      <c r="E9" s="11" t="s">
        <v>48</v>
      </c>
      <c r="F9" s="11" t="s">
        <v>49</v>
      </c>
    </row>
    <row r="10" customFormat="false" ht="19.5" hidden="false" customHeight="true" outlineLevel="0" collapsed="false">
      <c r="A10" s="15" t="s">
        <v>18</v>
      </c>
      <c r="B10" s="15"/>
      <c r="C10" s="15"/>
      <c r="D10" s="15"/>
      <c r="E10" s="15"/>
      <c r="F10" s="15"/>
    </row>
    <row r="11" customFormat="false" ht="36" hidden="false" customHeight="true" outlineLevel="0" collapsed="false">
      <c r="A11" s="16" t="n">
        <v>1</v>
      </c>
      <c r="B11" s="17" t="s">
        <v>50</v>
      </c>
      <c r="C11" s="18" t="n">
        <v>3</v>
      </c>
      <c r="D11" s="19" t="n">
        <f aca="false">'Scoring Reference'!$B$4/6</f>
        <v>0.05</v>
      </c>
      <c r="E11" s="20" t="n">
        <f aca="false">IF(C11="","",C11*D11)</f>
        <v>0.15</v>
      </c>
      <c r="F11" s="21"/>
    </row>
    <row r="12" customFormat="false" ht="36" hidden="false" customHeight="true" outlineLevel="0" collapsed="false">
      <c r="A12" s="16" t="n">
        <v>2</v>
      </c>
      <c r="B12" s="17" t="s">
        <v>51</v>
      </c>
      <c r="C12" s="18" t="n">
        <v>3</v>
      </c>
      <c r="D12" s="19" t="n">
        <f aca="false">'Scoring Reference'!$B$4/6</f>
        <v>0.05</v>
      </c>
      <c r="E12" s="20" t="n">
        <f aca="false">IF(C12="","",C12*D12)</f>
        <v>0.15</v>
      </c>
      <c r="F12" s="21"/>
    </row>
    <row r="13" customFormat="false" ht="36" hidden="false" customHeight="true" outlineLevel="0" collapsed="false">
      <c r="A13" s="16" t="n">
        <v>3</v>
      </c>
      <c r="B13" s="17" t="s">
        <v>52</v>
      </c>
      <c r="C13" s="18" t="n">
        <v>3</v>
      </c>
      <c r="D13" s="19" t="n">
        <f aca="false">'Scoring Reference'!$B$4/6</f>
        <v>0.05</v>
      </c>
      <c r="E13" s="20" t="n">
        <f aca="false">IF(C13="","",C13*D13)</f>
        <v>0.15</v>
      </c>
      <c r="F13" s="21"/>
    </row>
    <row r="14" customFormat="false" ht="36" hidden="false" customHeight="true" outlineLevel="0" collapsed="false">
      <c r="A14" s="16" t="n">
        <v>4</v>
      </c>
      <c r="B14" s="17" t="s">
        <v>53</v>
      </c>
      <c r="C14" s="18" t="n">
        <v>3</v>
      </c>
      <c r="D14" s="19" t="n">
        <f aca="false">'Scoring Reference'!$B$4/6</f>
        <v>0.05</v>
      </c>
      <c r="E14" s="20" t="n">
        <f aca="false">IF(C14="","",C14*D14)</f>
        <v>0.15</v>
      </c>
      <c r="F14" s="21"/>
    </row>
    <row r="15" customFormat="false" ht="36" hidden="false" customHeight="true" outlineLevel="0" collapsed="false">
      <c r="A15" s="16" t="n">
        <v>5</v>
      </c>
      <c r="B15" s="17" t="s">
        <v>54</v>
      </c>
      <c r="C15" s="18" t="n">
        <v>3</v>
      </c>
      <c r="D15" s="19" t="n">
        <f aca="false">'Scoring Reference'!$B$4/6</f>
        <v>0.05</v>
      </c>
      <c r="E15" s="20" t="n">
        <f aca="false">IF(C15="","",C15*D15)</f>
        <v>0.15</v>
      </c>
      <c r="F15" s="21"/>
    </row>
    <row r="16" customFormat="false" ht="36" hidden="false" customHeight="true" outlineLevel="0" collapsed="false">
      <c r="A16" s="16" t="n">
        <v>6</v>
      </c>
      <c r="B16" s="17" t="s">
        <v>55</v>
      </c>
      <c r="C16" s="18" t="n">
        <v>3</v>
      </c>
      <c r="D16" s="19" t="n">
        <f aca="false">'Scoring Reference'!$B$4/6</f>
        <v>0.05</v>
      </c>
      <c r="E16" s="20" t="n">
        <f aca="false">IF(C16="","",C16*D16)</f>
        <v>0.15</v>
      </c>
      <c r="F16" s="21"/>
    </row>
    <row r="17" customFormat="false" ht="19.5" hidden="false" customHeight="true" outlineLevel="0" collapsed="false">
      <c r="A17" s="15" t="s">
        <v>19</v>
      </c>
      <c r="B17" s="15"/>
      <c r="C17" s="15"/>
      <c r="D17" s="15"/>
      <c r="E17" s="15"/>
      <c r="F17" s="15"/>
    </row>
    <row r="18" customFormat="false" ht="36" hidden="false" customHeight="true" outlineLevel="0" collapsed="false">
      <c r="A18" s="16" t="n">
        <v>7</v>
      </c>
      <c r="B18" s="17" t="s">
        <v>56</v>
      </c>
      <c r="C18" s="18" t="n">
        <v>3</v>
      </c>
      <c r="D18" s="19" t="n">
        <f aca="false">'Scoring Reference'!$B$5/5</f>
        <v>0.05</v>
      </c>
      <c r="E18" s="20" t="n">
        <f aca="false">IF(C18="","",C18*D18)</f>
        <v>0.15</v>
      </c>
      <c r="F18" s="21"/>
    </row>
    <row r="19" customFormat="false" ht="36" hidden="false" customHeight="true" outlineLevel="0" collapsed="false">
      <c r="A19" s="16" t="n">
        <v>8</v>
      </c>
      <c r="B19" s="17" t="s">
        <v>57</v>
      </c>
      <c r="C19" s="18" t="n">
        <v>3</v>
      </c>
      <c r="D19" s="19" t="n">
        <f aca="false">'Scoring Reference'!$B$5/5</f>
        <v>0.05</v>
      </c>
      <c r="E19" s="20" t="n">
        <f aca="false">IF(C19="","",C19*D19)</f>
        <v>0.15</v>
      </c>
      <c r="F19" s="21"/>
    </row>
    <row r="20" customFormat="false" ht="36" hidden="false" customHeight="true" outlineLevel="0" collapsed="false">
      <c r="A20" s="16" t="n">
        <v>9</v>
      </c>
      <c r="B20" s="17" t="s">
        <v>58</v>
      </c>
      <c r="C20" s="18" t="n">
        <v>3</v>
      </c>
      <c r="D20" s="19" t="n">
        <f aca="false">'Scoring Reference'!$B$5/5</f>
        <v>0.05</v>
      </c>
      <c r="E20" s="20" t="n">
        <f aca="false">IF(C20="","",C20*D20)</f>
        <v>0.15</v>
      </c>
      <c r="F20" s="21"/>
    </row>
    <row r="21" customFormat="false" ht="36" hidden="false" customHeight="true" outlineLevel="0" collapsed="false">
      <c r="A21" s="16" t="n">
        <v>10</v>
      </c>
      <c r="B21" s="17" t="s">
        <v>59</v>
      </c>
      <c r="C21" s="18" t="n">
        <v>3</v>
      </c>
      <c r="D21" s="19" t="n">
        <f aca="false">'Scoring Reference'!$B$5/5</f>
        <v>0.05</v>
      </c>
      <c r="E21" s="20" t="n">
        <f aca="false">IF(C21="","",C21*D21)</f>
        <v>0.15</v>
      </c>
      <c r="F21" s="21"/>
    </row>
    <row r="22" customFormat="false" ht="36" hidden="false" customHeight="true" outlineLevel="0" collapsed="false">
      <c r="A22" s="16" t="n">
        <v>11</v>
      </c>
      <c r="B22" s="17" t="s">
        <v>60</v>
      </c>
      <c r="C22" s="18" t="n">
        <v>3</v>
      </c>
      <c r="D22" s="19" t="n">
        <f aca="false">'Scoring Reference'!$B$5/5</f>
        <v>0.05</v>
      </c>
      <c r="E22" s="20" t="n">
        <f aca="false">IF(C22="","",C22*D22)</f>
        <v>0.15</v>
      </c>
      <c r="F22" s="21"/>
    </row>
    <row r="23" customFormat="false" ht="19.5" hidden="false" customHeight="true" outlineLevel="0" collapsed="false">
      <c r="A23" s="15" t="s">
        <v>20</v>
      </c>
      <c r="B23" s="15"/>
      <c r="C23" s="15"/>
      <c r="D23" s="15"/>
      <c r="E23" s="15"/>
      <c r="F23" s="15"/>
    </row>
    <row r="24" customFormat="false" ht="36" hidden="false" customHeight="true" outlineLevel="0" collapsed="false">
      <c r="A24" s="16" t="n">
        <v>12</v>
      </c>
      <c r="B24" s="17" t="s">
        <v>61</v>
      </c>
      <c r="C24" s="18" t="n">
        <v>3</v>
      </c>
      <c r="D24" s="19" t="n">
        <f aca="false">'Scoring Reference'!$B$6/4</f>
        <v>0.05</v>
      </c>
      <c r="E24" s="20" t="n">
        <f aca="false">IF(C24="","",C24*D24)</f>
        <v>0.15</v>
      </c>
      <c r="F24" s="21"/>
    </row>
    <row r="25" customFormat="false" ht="36" hidden="false" customHeight="true" outlineLevel="0" collapsed="false">
      <c r="A25" s="16" t="n">
        <v>13</v>
      </c>
      <c r="B25" s="17" t="s">
        <v>62</v>
      </c>
      <c r="C25" s="18" t="n">
        <v>3</v>
      </c>
      <c r="D25" s="19" t="n">
        <f aca="false">'Scoring Reference'!$B$6/4</f>
        <v>0.05</v>
      </c>
      <c r="E25" s="20" t="n">
        <f aca="false">IF(C25="","",C25*D25)</f>
        <v>0.15</v>
      </c>
      <c r="F25" s="21"/>
    </row>
    <row r="26" customFormat="false" ht="36" hidden="false" customHeight="true" outlineLevel="0" collapsed="false">
      <c r="A26" s="16" t="n">
        <v>14</v>
      </c>
      <c r="B26" s="17" t="s">
        <v>63</v>
      </c>
      <c r="C26" s="18" t="n">
        <v>3</v>
      </c>
      <c r="D26" s="19" t="n">
        <f aca="false">'Scoring Reference'!$B$6/4</f>
        <v>0.05</v>
      </c>
      <c r="E26" s="20" t="n">
        <f aca="false">IF(C26="","",C26*D26)</f>
        <v>0.15</v>
      </c>
      <c r="F26" s="21"/>
    </row>
    <row r="27" customFormat="false" ht="36" hidden="false" customHeight="true" outlineLevel="0" collapsed="false">
      <c r="A27" s="16" t="n">
        <v>15</v>
      </c>
      <c r="B27" s="17" t="s">
        <v>64</v>
      </c>
      <c r="C27" s="18" t="n">
        <v>3</v>
      </c>
      <c r="D27" s="19" t="n">
        <f aca="false">'Scoring Reference'!$B$6/4</f>
        <v>0.05</v>
      </c>
      <c r="E27" s="20" t="n">
        <f aca="false">IF(C27="","",C27*D27)</f>
        <v>0.15</v>
      </c>
      <c r="F27" s="21"/>
    </row>
    <row r="28" customFormat="false" ht="19.5" hidden="false" customHeight="true" outlineLevel="0" collapsed="false">
      <c r="A28" s="15" t="s">
        <v>21</v>
      </c>
      <c r="B28" s="15"/>
      <c r="C28" s="15"/>
      <c r="D28" s="15"/>
      <c r="E28" s="15"/>
      <c r="F28" s="15"/>
    </row>
    <row r="29" customFormat="false" ht="36" hidden="false" customHeight="true" outlineLevel="0" collapsed="false">
      <c r="A29" s="16" t="n">
        <v>16</v>
      </c>
      <c r="B29" s="17" t="s">
        <v>65</v>
      </c>
      <c r="C29" s="18" t="n">
        <v>3</v>
      </c>
      <c r="D29" s="19" t="n">
        <f aca="false">'Scoring Reference'!$B$7/2</f>
        <v>0.075</v>
      </c>
      <c r="E29" s="20" t="n">
        <f aca="false">IF(C29="","",C29*D29)</f>
        <v>0.225</v>
      </c>
      <c r="F29" s="21"/>
    </row>
    <row r="30" customFormat="false" ht="36" hidden="false" customHeight="true" outlineLevel="0" collapsed="false">
      <c r="A30" s="16" t="n">
        <v>17</v>
      </c>
      <c r="B30" s="17" t="s">
        <v>66</v>
      </c>
      <c r="C30" s="18" t="n">
        <v>3</v>
      </c>
      <c r="D30" s="19" t="n">
        <f aca="false">'Scoring Reference'!$B$7/2</f>
        <v>0.075</v>
      </c>
      <c r="E30" s="20" t="n">
        <f aca="false">IF(C30="","",C30*D30)</f>
        <v>0.225</v>
      </c>
      <c r="F30" s="21"/>
    </row>
    <row r="31" customFormat="false" ht="19.5" hidden="false" customHeight="true" outlineLevel="0" collapsed="false">
      <c r="A31" s="15" t="s">
        <v>22</v>
      </c>
      <c r="B31" s="15"/>
      <c r="C31" s="15"/>
      <c r="D31" s="15"/>
      <c r="E31" s="15"/>
      <c r="F31" s="15"/>
    </row>
    <row r="32" customFormat="false" ht="36" hidden="false" customHeight="true" outlineLevel="0" collapsed="false">
      <c r="A32" s="16" t="n">
        <v>18</v>
      </c>
      <c r="B32" s="17" t="s">
        <v>67</v>
      </c>
      <c r="C32" s="18" t="n">
        <v>3</v>
      </c>
      <c r="D32" s="19" t="n">
        <f aca="false">'Scoring Reference'!$B$8/2</f>
        <v>0.05</v>
      </c>
      <c r="E32" s="20" t="n">
        <f aca="false">IF(C32="","",C32*D32)</f>
        <v>0.15</v>
      </c>
      <c r="F32" s="21"/>
    </row>
    <row r="33" customFormat="false" ht="36" hidden="false" customHeight="true" outlineLevel="0" collapsed="false">
      <c r="A33" s="16" t="n">
        <v>19</v>
      </c>
      <c r="B33" s="17" t="s">
        <v>68</v>
      </c>
      <c r="C33" s="18" t="n">
        <v>3</v>
      </c>
      <c r="D33" s="19" t="n">
        <f aca="false">'Scoring Reference'!$B$8/2</f>
        <v>0.05</v>
      </c>
      <c r="E33" s="20" t="n">
        <f aca="false">IF(C33="","",C33*D33)</f>
        <v>0.15</v>
      </c>
      <c r="F33" s="21"/>
    </row>
    <row r="35" customFormat="false" ht="15" hidden="false" customHeight="true" outlineLevel="0" collapsed="false">
      <c r="A35" s="22" t="s">
        <v>69</v>
      </c>
      <c r="B35" s="22"/>
      <c r="C35" s="22"/>
      <c r="D35" s="22"/>
      <c r="E35" s="22"/>
      <c r="F35" s="22"/>
    </row>
    <row r="36" customFormat="false" ht="18" hidden="false" customHeight="true" outlineLevel="0" collapsed="false">
      <c r="A36" s="23" t="s">
        <v>18</v>
      </c>
      <c r="B36" s="23"/>
      <c r="C36" s="23"/>
      <c r="D36" s="24" t="n">
        <f aca="false">IFERROR(AVERAGE(C11:C16),"")</f>
        <v>3</v>
      </c>
      <c r="E36" s="25" t="s">
        <v>70</v>
      </c>
    </row>
    <row r="37" customFormat="false" ht="18" hidden="false" customHeight="true" outlineLevel="0" collapsed="false">
      <c r="A37" s="23" t="s">
        <v>19</v>
      </c>
      <c r="B37" s="23"/>
      <c r="C37" s="23"/>
      <c r="D37" s="24" t="n">
        <f aca="false">IFERROR(AVERAGE(C18:C22),"")</f>
        <v>3</v>
      </c>
      <c r="E37" s="25" t="s">
        <v>70</v>
      </c>
    </row>
    <row r="38" customFormat="false" ht="18" hidden="false" customHeight="true" outlineLevel="0" collapsed="false">
      <c r="A38" s="23" t="s">
        <v>20</v>
      </c>
      <c r="B38" s="23"/>
      <c r="C38" s="23"/>
      <c r="D38" s="24" t="n">
        <f aca="false">IFERROR(AVERAGE(C24:C27),"")</f>
        <v>3</v>
      </c>
      <c r="E38" s="25" t="s">
        <v>70</v>
      </c>
    </row>
    <row r="39" customFormat="false" ht="18" hidden="false" customHeight="true" outlineLevel="0" collapsed="false">
      <c r="A39" s="23" t="s">
        <v>21</v>
      </c>
      <c r="B39" s="23"/>
      <c r="C39" s="23"/>
      <c r="D39" s="24" t="n">
        <f aca="false">IFERROR(AVERAGE(C29:C30),"")</f>
        <v>3</v>
      </c>
      <c r="E39" s="25" t="s">
        <v>70</v>
      </c>
    </row>
    <row r="40" customFormat="false" ht="18" hidden="false" customHeight="true" outlineLevel="0" collapsed="false">
      <c r="A40" s="23" t="s">
        <v>22</v>
      </c>
      <c r="B40" s="23"/>
      <c r="C40" s="23"/>
      <c r="D40" s="24" t="n">
        <f aca="false">IFERROR(AVERAGE(C32:C33),"")</f>
        <v>3</v>
      </c>
      <c r="E40" s="25" t="s">
        <v>70</v>
      </c>
    </row>
    <row r="41" customFormat="false" ht="15" hidden="false" customHeight="true" outlineLevel="0" collapsed="false">
      <c r="A41" s="26" t="s">
        <v>71</v>
      </c>
      <c r="B41" s="26"/>
      <c r="C41" s="26"/>
      <c r="D41" s="27" t="n">
        <f aca="false">IFERROR(SUMPRODUCT((C10:C33&lt;&gt;"")*C10:C33*D10:D33)/SUMPRODUCT((C10:C33&lt;&gt;"")*D10:D33),"")</f>
        <v>3</v>
      </c>
    </row>
    <row r="42" customFormat="false" ht="15" hidden="false" customHeight="true" outlineLevel="0" collapsed="false">
      <c r="A42" s="26" t="s">
        <v>72</v>
      </c>
      <c r="B42" s="26"/>
      <c r="C42" s="26"/>
      <c r="D42" s="28" t="str">
        <f aca="false">IFERROR(IF(D41="","",IF(D41&lt;=1.79,"Low",IF(D41&lt;=2.59,"Medium",IF(D41&lt;=3.79,"High","Critical")))),"")</f>
        <v>High</v>
      </c>
    </row>
  </sheetData>
  <mergeCells count="19">
    <mergeCell ref="A1:F1"/>
    <mergeCell ref="B3:C3"/>
    <mergeCell ref="B4:C4"/>
    <mergeCell ref="B5:C5"/>
    <mergeCell ref="B6:C6"/>
    <mergeCell ref="B7:C7"/>
    <mergeCell ref="A10:F10"/>
    <mergeCell ref="A17:F17"/>
    <mergeCell ref="A23:F23"/>
    <mergeCell ref="A28:F28"/>
    <mergeCell ref="A31:F31"/>
    <mergeCell ref="A35:F35"/>
    <mergeCell ref="A36:C36"/>
    <mergeCell ref="A37:C37"/>
    <mergeCell ref="A38:C38"/>
    <mergeCell ref="A39:C39"/>
    <mergeCell ref="A40:C40"/>
    <mergeCell ref="A41:C41"/>
    <mergeCell ref="A42:C42"/>
  </mergeCells>
  <conditionalFormatting sqref="D42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dataValidations count="1">
    <dataValidation allowBlank="true" errorStyle="stop" operator="between" showDropDown="false" showErrorMessage="false" showInputMessage="false" sqref="C10:C33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2026-09-16T05:57:58Z</dcterms:created>
  <dc:creator>openpyxl</dc:creator>
  <dc:description/>
  <dc:language>en-US</dc:language>
  <cp:lastModifiedBy/>
  <dcterms:modified xsi:type="dcterms:W3CDTF">2026-09-16T05:58:10Z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