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NIST 800-30 Scales" sheetId="2" state="visible" r:id="rId4"/>
    <sheet name="Risk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<sst xmlns="http://schemas.openxmlformats.org/spreadsheetml/2006/main" count="119" uniqueCount="96">
  <si>
    <t xml:space="preserve">NIST SP 800-30 Risk Assessment Worksheet — Instructions</t>
  </si>
  <si>
    <t xml:space="preserve">This worksheet follows the NIST SP 800-30 (Guide for Conducting Risk Assessments) methodology:</t>
  </si>
  <si>
    <t xml:space="preserve">Risk = Likelihood of threat exploiting a vulnerability x Impact of that occurrence on the organization.</t>
  </si>
  <si>
    <t xml:space="preserve">1. Go to the 'Risk Register' tab. For each risk, document the Asset/System, Threat Source, Vulnerability,</t>
  </si>
  <si>
    <t xml:space="preserve">   and Existing Controls in place.</t>
  </si>
  <si>
    <t xml:space="preserve">2. Select a Likelihood rating (Very Low to Very High) using the dropdown — see the 'NIST 800-30 Scales'</t>
  </si>
  <si>
    <t xml:space="preserve">   tab for definitions.</t>
  </si>
  <si>
    <t xml:space="preserve">3. Select an Impact rating (Very Low to Very High) using the dropdown — see the 'NIST 800-30 Scales' tab</t>
  </si>
  <si>
    <t xml:space="preserve">   for definitions.</t>
  </si>
  <si>
    <t xml:space="preserve">4. The Risk Score and Risk Level calculate automatically based on the NIST 800-30 5x5 qualitative risk matrix.</t>
  </si>
  <si>
    <t xml:space="preserve">5. Document the Risk Owner, Mitigation Plan, Target Date, and Status for each identified risk.</t>
  </si>
  <si>
    <t xml:space="preserve">6. Review and update the register at a defined cadence (e.g., quarterly) or upon significant changes to the</t>
  </si>
  <si>
    <t xml:space="preserve">   environment, threat landscape, or control set.</t>
  </si>
  <si>
    <t xml:space="preserve">Reference: NIST Special Publication 800-30 Rev. 1, 'Guide for Conducting Risk Assessments'.</t>
  </si>
  <si>
    <t xml:space="preserve">This worksheet supports qualitative risk assessment; organizations requiring quantitative analysis (e.g., FAIR)</t>
  </si>
  <si>
    <t xml:space="preserve">should supplement with a dedicated quantitative model.</t>
  </si>
  <si>
    <t xml:space="preserve">NIST SP 800-30 Likelihood, Impact, and Risk Level Scales</t>
  </si>
  <si>
    <t xml:space="preserve">Likelihood Scale</t>
  </si>
  <si>
    <t xml:space="preserve">Rating</t>
  </si>
  <si>
    <t xml:space="preserve">Definition</t>
  </si>
  <si>
    <t xml:space="preserve">1 - Very Low</t>
  </si>
  <si>
    <t xml:space="preserve">The threat event is unlikely to occur, or the adversary has very low capability/intent</t>
  </si>
  <si>
    <t xml:space="preserve">2 - Low</t>
  </si>
  <si>
    <t xml:space="preserve">The threat event could occur, but is not expected to occur</t>
  </si>
  <si>
    <t xml:space="preserve">3 - Moderate</t>
  </si>
  <si>
    <t xml:space="preserve">The threat event is reasonably expected to occur</t>
  </si>
  <si>
    <t xml:space="preserve">4 - High</t>
  </si>
  <si>
    <t xml:space="preserve">The threat event is highly likely to occur</t>
  </si>
  <si>
    <t xml:space="preserve">5 - Very High</t>
  </si>
  <si>
    <t xml:space="preserve">The threat event is almost certain to occur, or occurs multiple times per period</t>
  </si>
  <si>
    <t xml:space="preserve">Impact Scale</t>
  </si>
  <si>
    <t xml:space="preserve">Negligible effect on operations, assets, or individuals</t>
  </si>
  <si>
    <t xml:space="preserve">Limited adverse effect on operations, assets, or individuals</t>
  </si>
  <si>
    <t xml:space="preserve">Serious adverse effect on operations, assets, or individuals</t>
  </si>
  <si>
    <t xml:space="preserve">Severe or catastrophic adverse effect on operations, assets, or individuals</t>
  </si>
  <si>
    <t xml:space="preserve">Multiple severe or catastrophic effects; threatens organizational survival</t>
  </si>
  <si>
    <t xml:space="preserve">5x5 Qualitative Risk Level Matrix (Likelihood x Impact)</t>
  </si>
  <si>
    <t xml:space="preserve">Likelihood \ Impact</t>
  </si>
  <si>
    <t xml:space="preserve">1-Very Low</t>
  </si>
  <si>
    <t xml:space="preserve">2-Low</t>
  </si>
  <si>
    <t xml:space="preserve">3-Moderate</t>
  </si>
  <si>
    <t xml:space="preserve">4-High</t>
  </si>
  <si>
    <t xml:space="preserve">5-Very High</t>
  </si>
  <si>
    <t xml:space="preserve">5 (Moderate)</t>
  </si>
  <si>
    <t xml:space="preserve">10 (High)</t>
  </si>
  <si>
    <t xml:space="preserve">15 (High)</t>
  </si>
  <si>
    <t xml:space="preserve">20 (Very High)</t>
  </si>
  <si>
    <t xml:space="preserve">25 (Very High)</t>
  </si>
  <si>
    <t xml:space="preserve">4 (Low)</t>
  </si>
  <si>
    <t xml:space="preserve">8 (Moderate)</t>
  </si>
  <si>
    <t xml:space="preserve">12 (High)</t>
  </si>
  <si>
    <t xml:space="preserve">16 (Very High)</t>
  </si>
  <si>
    <t xml:space="preserve">3 (Low)</t>
  </si>
  <si>
    <t xml:space="preserve">6 (Moderate)</t>
  </si>
  <si>
    <t xml:space="preserve">9 (Moderate)</t>
  </si>
  <si>
    <t xml:space="preserve">2 (Low)</t>
  </si>
  <si>
    <t xml:space="preserve">1 (Low)</t>
  </si>
  <si>
    <t xml:space="preserve">Risk Level Thresholds (Score Range)</t>
  </si>
  <si>
    <t xml:space="preserve">1-4</t>
  </si>
  <si>
    <t xml:space="preserve">Low</t>
  </si>
  <si>
    <t xml:space="preserve">5-9</t>
  </si>
  <si>
    <t xml:space="preserve">Moderate</t>
  </si>
  <si>
    <t xml:space="preserve">10-15</t>
  </si>
  <si>
    <t xml:space="preserve">High</t>
  </si>
  <si>
    <t xml:space="preserve">16-25</t>
  </si>
  <si>
    <t xml:space="preserve">Very High</t>
  </si>
  <si>
    <t xml:space="preserve">NIST SP 800-30 Risk Register</t>
  </si>
  <si>
    <t xml:space="preserve">Fill in yellow-shaded cells. Risk Score and Risk Level calculate automatically from Likelihood x Impact.</t>
  </si>
  <si>
    <t xml:space="preserve">Risk ID</t>
  </si>
  <si>
    <t xml:space="preserve">Asset / System</t>
  </si>
  <si>
    <t xml:space="preserve">Threat Source</t>
  </si>
  <si>
    <t xml:space="preserve">Vulnerability</t>
  </si>
  <si>
    <t xml:space="preserve">Existing Controls</t>
  </si>
  <si>
    <t xml:space="preserve">Likelihood (1-5)</t>
  </si>
  <si>
    <t xml:space="preserve">Impact (1-5)</t>
  </si>
  <si>
    <t xml:space="preserve">Risk Score</t>
  </si>
  <si>
    <t xml:space="preserve">Risk Level</t>
  </si>
  <si>
    <t xml:space="preserve">Risk Owner</t>
  </si>
  <si>
    <t xml:space="preserve">Mitigation Plan</t>
  </si>
  <si>
    <t xml:space="preserve">Target Date</t>
  </si>
  <si>
    <t xml:space="preserve">Status</t>
  </si>
  <si>
    <t xml:space="preserve">RISK-01</t>
  </si>
  <si>
    <t xml:space="preserve">RISK-02</t>
  </si>
  <si>
    <t xml:space="preserve">RISK-03</t>
  </si>
  <si>
    <t xml:space="preserve">RISK-04</t>
  </si>
  <si>
    <t xml:space="preserve">RISK-05</t>
  </si>
  <si>
    <t xml:space="preserve">RISK-06</t>
  </si>
  <si>
    <t xml:space="preserve">RISK-07</t>
  </si>
  <si>
    <t xml:space="preserve">RISK-08</t>
  </si>
  <si>
    <t xml:space="preserve">RISK-09</t>
  </si>
  <si>
    <t xml:space="preserve">RISK-10</t>
  </si>
  <si>
    <t xml:space="preserve">RISK-11</t>
  </si>
  <si>
    <t xml:space="preserve">RISK-12</t>
  </si>
  <si>
    <t xml:space="preserve">RISK-13</t>
  </si>
  <si>
    <t xml:space="preserve">RISK-14</t>
  </si>
  <si>
    <t xml:space="preserve">RISK-15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</si>
</sst>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3A57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B3A5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B3A57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57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  <fill>
      <patternFill patternType="solid">
        <fgColor rgb="FFFF9999"/>
        <bgColor rgb="FFFF8080"/>
      </patternFill>
    </fill>
    <fill>
      <patternFill patternType="solid">
        <fgColor rgb="FFC6E0B4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25.5" hidden="false" customHeight="true" outlineLevel="0" collapsed="false">
      <c r="A1" s="2" t="s">
        <v>0</v>
      </c>
    </row>
    <row r="3" customFormat="false" ht="15.75" hidden="false" customHeight="true" outlineLevel="0" collapsed="false">
      <c r="A3" s="3"/>
    </row>
    <row r="4" customFormat="false" ht="15.75" hidden="false" customHeight="true" outlineLevel="0" collapsed="false">
      <c r="A4" s="3" t="s">
        <v>1</v>
      </c>
    </row>
    <row r="5" customFormat="false" ht="15.75" hidden="false" customHeight="true" outlineLevel="0" collapsed="false">
      <c r="A5" s="3" t="s">
        <v>2</v>
      </c>
    </row>
    <row r="6" customFormat="false" ht="15.75" hidden="false" customHeight="true" outlineLevel="0" collapsed="false">
      <c r="A6" s="3"/>
    </row>
    <row r="7" customFormat="false" ht="15.75" hidden="false" customHeight="true" outlineLevel="0" collapsed="false">
      <c r="A7" s="3" t="s">
        <v>3</v>
      </c>
    </row>
    <row r="8" customFormat="false" ht="15.75" hidden="false" customHeight="true" outlineLevel="0" collapsed="false">
      <c r="A8" s="3" t="s">
        <v>4</v>
      </c>
    </row>
    <row r="9" customFormat="false" ht="15.75" hidden="false" customHeight="true" outlineLevel="0" collapsed="false">
      <c r="A9" s="3" t="s">
        <v>5</v>
      </c>
    </row>
    <row r="10" customFormat="false" ht="15.75" hidden="false" customHeight="true" outlineLevel="0" collapsed="false">
      <c r="A10" s="3" t="s">
        <v>6</v>
      </c>
    </row>
    <row r="11" customFormat="false" ht="15.75" hidden="false" customHeight="true" outlineLevel="0" collapsed="false">
      <c r="A11" s="3" t="s">
        <v>7</v>
      </c>
    </row>
    <row r="12" customFormat="false" ht="15.75" hidden="false" customHeight="true" outlineLevel="0" collapsed="false">
      <c r="A12" s="3" t="s">
        <v>8</v>
      </c>
    </row>
    <row r="13" customFormat="false" ht="15.75" hidden="false" customHeight="true" outlineLevel="0" collapsed="false">
      <c r="A13" s="3" t="s">
        <v>9</v>
      </c>
    </row>
    <row r="14" customFormat="false" ht="15.75" hidden="false" customHeight="true" outlineLevel="0" collapsed="false">
      <c r="A14" s="3" t="s">
        <v>10</v>
      </c>
    </row>
    <row r="15" customFormat="false" ht="15.75" hidden="false" customHeight="true" outlineLevel="0" collapsed="false">
      <c r="A15" s="3" t="s">
        <v>11</v>
      </c>
    </row>
    <row r="16" customFormat="false" ht="15.75" hidden="false" customHeight="true" outlineLevel="0" collapsed="false">
      <c r="A16" s="3" t="s">
        <v>12</v>
      </c>
    </row>
    <row r="17" customFormat="false" ht="15.75" hidden="false" customHeight="true" outlineLevel="0" collapsed="false">
      <c r="A17" s="3"/>
    </row>
    <row r="18" customFormat="false" ht="15.75" hidden="false" customHeight="true" outlineLevel="0" collapsed="false">
      <c r="A18" s="3" t="s">
        <v>13</v>
      </c>
    </row>
    <row r="19" customFormat="false" ht="15.75" hidden="false" customHeight="true" outlineLevel="0" collapsed="false">
      <c r="A19" s="3" t="s">
        <v>14</v>
      </c>
    </row>
    <row r="20" customFormat="false" ht="15.75" hidden="false" customHeight="true" outlineLevel="0" collapsed="false">
      <c r="A2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5"/>
    <col collapsed="false" customWidth="true" hidden="false" outlineLevel="0" max="7" min="3" style="1" width="14"/>
  </cols>
  <sheetData>
    <row r="1" customFormat="false" ht="21.75" hidden="false" customHeight="true" outlineLevel="0" collapsed="false">
      <c r="A1" s="4" t="s">
        <v>16</v>
      </c>
      <c r="B1" s="4"/>
      <c r="C1" s="4"/>
      <c r="D1" s="4"/>
      <c r="E1" s="4"/>
      <c r="F1" s="4"/>
      <c r="G1" s="4"/>
    </row>
    <row r="3" customFormat="false" ht="15" hidden="false" customHeight="true" outlineLevel="0" collapsed="false">
      <c r="A3" s="5" t="s">
        <v>17</v>
      </c>
    </row>
    <row r="4" customFormat="false" ht="15" hidden="false" customHeight="true" outlineLevel="0" collapsed="false">
      <c r="A4" s="6" t="s">
        <v>18</v>
      </c>
      <c r="B4" s="6" t="s">
        <v>19</v>
      </c>
    </row>
    <row r="5" customFormat="false" ht="25.5" hidden="false" customHeight="true" outlineLevel="0" collapsed="false">
      <c r="A5" s="7" t="s">
        <v>20</v>
      </c>
      <c r="B5" s="8" t="s">
        <v>21</v>
      </c>
    </row>
    <row r="6" customFormat="false" ht="25.5" hidden="false" customHeight="true" outlineLevel="0" collapsed="false">
      <c r="A6" s="7" t="s">
        <v>22</v>
      </c>
      <c r="B6" s="8" t="s">
        <v>23</v>
      </c>
    </row>
    <row r="7" customFormat="false" ht="25.5" hidden="false" customHeight="true" outlineLevel="0" collapsed="false">
      <c r="A7" s="7" t="s">
        <v>24</v>
      </c>
      <c r="B7" s="8" t="s">
        <v>25</v>
      </c>
    </row>
    <row r="8" customFormat="false" ht="25.5" hidden="false" customHeight="true" outlineLevel="0" collapsed="false">
      <c r="A8" s="7" t="s">
        <v>26</v>
      </c>
      <c r="B8" s="8" t="s">
        <v>27</v>
      </c>
    </row>
    <row r="9" customFormat="false" ht="25.5" hidden="false" customHeight="true" outlineLevel="0" collapsed="false">
      <c r="A9" s="7" t="s">
        <v>28</v>
      </c>
      <c r="B9" s="8" t="s">
        <v>29</v>
      </c>
    </row>
    <row r="11" customFormat="false" ht="15" hidden="false" customHeight="true" outlineLevel="0" collapsed="false">
      <c r="A11" s="5" t="s">
        <v>30</v>
      </c>
    </row>
    <row r="12" customFormat="false" ht="15" hidden="false" customHeight="true" outlineLevel="0" collapsed="false">
      <c r="A12" s="6" t="s">
        <v>18</v>
      </c>
      <c r="B12" s="6" t="s">
        <v>19</v>
      </c>
    </row>
    <row r="13" customFormat="false" ht="25.5" hidden="false" customHeight="true" outlineLevel="0" collapsed="false">
      <c r="A13" s="7" t="s">
        <v>20</v>
      </c>
      <c r="B13" s="8" t="s">
        <v>31</v>
      </c>
    </row>
    <row r="14" customFormat="false" ht="25.5" hidden="false" customHeight="true" outlineLevel="0" collapsed="false">
      <c r="A14" s="7" t="s">
        <v>22</v>
      </c>
      <c r="B14" s="8" t="s">
        <v>32</v>
      </c>
    </row>
    <row r="15" customFormat="false" ht="25.5" hidden="false" customHeight="true" outlineLevel="0" collapsed="false">
      <c r="A15" s="7" t="s">
        <v>24</v>
      </c>
      <c r="B15" s="8" t="s">
        <v>33</v>
      </c>
    </row>
    <row r="16" customFormat="false" ht="25.5" hidden="false" customHeight="true" outlineLevel="0" collapsed="false">
      <c r="A16" s="7" t="s">
        <v>26</v>
      </c>
      <c r="B16" s="8" t="s">
        <v>34</v>
      </c>
    </row>
    <row r="17" customFormat="false" ht="25.5" hidden="false" customHeight="true" outlineLevel="0" collapsed="false">
      <c r="A17" s="7" t="s">
        <v>28</v>
      </c>
      <c r="B17" s="8" t="s">
        <v>35</v>
      </c>
    </row>
    <row r="19" customFormat="false" ht="15" hidden="false" customHeight="true" outlineLevel="0" collapsed="false">
      <c r="A19" s="5" t="s">
        <v>36</v>
      </c>
    </row>
    <row r="20" customFormat="false" ht="26.25" hidden="false" customHeight="true" outlineLevel="0" collapsed="false">
      <c r="A20" s="6" t="s">
        <v>37</v>
      </c>
      <c r="B20" s="6" t="s">
        <v>38</v>
      </c>
      <c r="C20" s="6" t="s">
        <v>39</v>
      </c>
      <c r="D20" s="6" t="s">
        <v>40</v>
      </c>
      <c r="E20" s="6" t="s">
        <v>41</v>
      </c>
      <c r="F20" s="6" t="s">
        <v>42</v>
      </c>
    </row>
    <row r="21" customFormat="false" ht="15" hidden="false" customHeight="true" outlineLevel="0" collapsed="false">
      <c r="A21" s="6" t="s">
        <v>42</v>
      </c>
      <c r="B21" s="9" t="s">
        <v>43</v>
      </c>
      <c r="C21" s="10" t="s">
        <v>44</v>
      </c>
      <c r="D21" s="10" t="s">
        <v>45</v>
      </c>
      <c r="E21" s="11" t="s">
        <v>46</v>
      </c>
      <c r="F21" s="11" t="s">
        <v>47</v>
      </c>
    </row>
    <row r="22" customFormat="false" ht="15" hidden="false" customHeight="true" outlineLevel="0" collapsed="false">
      <c r="A22" s="6" t="s">
        <v>41</v>
      </c>
      <c r="B22" s="12" t="s">
        <v>48</v>
      </c>
      <c r="C22" s="9" t="s">
        <v>49</v>
      </c>
      <c r="D22" s="10" t="s">
        <v>50</v>
      </c>
      <c r="E22" s="11" t="s">
        <v>51</v>
      </c>
      <c r="F22" s="11" t="s">
        <v>46</v>
      </c>
    </row>
    <row r="23" customFormat="false" ht="15" hidden="false" customHeight="true" outlineLevel="0" collapsed="false">
      <c r="A23" s="6" t="s">
        <v>40</v>
      </c>
      <c r="B23" s="12" t="s">
        <v>52</v>
      </c>
      <c r="C23" s="9" t="s">
        <v>53</v>
      </c>
      <c r="D23" s="9" t="s">
        <v>54</v>
      </c>
      <c r="E23" s="10" t="s">
        <v>50</v>
      </c>
      <c r="F23" s="10" t="s">
        <v>45</v>
      </c>
    </row>
    <row r="24" customFormat="false" ht="15" hidden="false" customHeight="true" outlineLevel="0" collapsed="false">
      <c r="A24" s="6" t="s">
        <v>39</v>
      </c>
      <c r="B24" s="12" t="s">
        <v>55</v>
      </c>
      <c r="C24" s="12" t="s">
        <v>48</v>
      </c>
      <c r="D24" s="9" t="s">
        <v>53</v>
      </c>
      <c r="E24" s="9" t="s">
        <v>49</v>
      </c>
      <c r="F24" s="10" t="s">
        <v>44</v>
      </c>
    </row>
    <row r="25" customFormat="false" ht="15" hidden="false" customHeight="true" outlineLevel="0" collapsed="false">
      <c r="A25" s="6" t="s">
        <v>38</v>
      </c>
      <c r="B25" s="12" t="s">
        <v>56</v>
      </c>
      <c r="C25" s="12" t="s">
        <v>55</v>
      </c>
      <c r="D25" s="12" t="s">
        <v>52</v>
      </c>
      <c r="E25" s="12" t="s">
        <v>48</v>
      </c>
      <c r="F25" s="9" t="s">
        <v>43</v>
      </c>
    </row>
    <row r="27" customFormat="false" ht="15" hidden="false" customHeight="true" outlineLevel="0" collapsed="false">
      <c r="A27" s="5" t="s">
        <v>57</v>
      </c>
    </row>
    <row r="28" customFormat="false" ht="15" hidden="false" customHeight="true" outlineLevel="0" collapsed="false">
      <c r="A28" s="7" t="s">
        <v>58</v>
      </c>
      <c r="B28" s="13" t="s">
        <v>59</v>
      </c>
    </row>
    <row r="29" customFormat="false" ht="15" hidden="false" customHeight="true" outlineLevel="0" collapsed="false">
      <c r="A29" s="7" t="s">
        <v>60</v>
      </c>
      <c r="B29" s="14" t="s">
        <v>61</v>
      </c>
    </row>
    <row r="30" customFormat="false" ht="15" hidden="false" customHeight="true" outlineLevel="0" collapsed="false">
      <c r="A30" s="7" t="s">
        <v>62</v>
      </c>
      <c r="B30" s="15" t="s">
        <v>63</v>
      </c>
    </row>
    <row r="31" customFormat="false" ht="15" hidden="false" customHeight="true" outlineLevel="0" collapsed="false">
      <c r="A31" s="7" t="s">
        <v>64</v>
      </c>
      <c r="B31" s="16" t="s">
        <v>65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0"/>
    <col collapsed="false" customWidth="true" hidden="false" outlineLevel="0" max="5" min="4" style="1" width="26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30"/>
    <col collapsed="false" customWidth="true" hidden="false" outlineLevel="0" max="13" min="12" style="1" width="14"/>
  </cols>
  <sheetData>
    <row r="1" customFormat="false" ht="24" hidden="false" customHeight="true" outlineLevel="0" collapsed="false">
      <c r="A1" s="17" t="s">
        <v>66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18" hidden="false" customHeight="true" outlineLevel="0" collapsed="false">
      <c r="A2" s="18" t="s">
        <v>67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customFormat="false" ht="31.5" hidden="false" customHeight="true" outlineLevel="0" collapsed="false">
      <c r="A4" s="6" t="s">
        <v>68</v>
      </c>
      <c r="B4" s="6" t="s">
        <v>69</v>
      </c>
      <c r="C4" s="6" t="s">
        <v>70</v>
      </c>
      <c r="D4" s="6" t="s">
        <v>71</v>
      </c>
      <c r="E4" s="6" t="s">
        <v>72</v>
      </c>
      <c r="F4" s="6" t="s">
        <v>73</v>
      </c>
      <c r="G4" s="6" t="s">
        <v>74</v>
      </c>
      <c r="H4" s="6" t="s">
        <v>75</v>
      </c>
      <c r="I4" s="6" t="s">
        <v>76</v>
      </c>
      <c r="J4" s="6" t="s">
        <v>77</v>
      </c>
      <c r="K4" s="6" t="s">
        <v>78</v>
      </c>
      <c r="L4" s="6" t="s">
        <v>79</v>
      </c>
      <c r="M4" s="6" t="s">
        <v>80</v>
      </c>
    </row>
    <row r="5" customFormat="false" ht="33.75" hidden="false" customHeight="true" outlineLevel="0" collapsed="false">
      <c r="A5" s="7" t="s">
        <v>81</v>
      </c>
      <c r="B5" s="19"/>
      <c r="C5" s="19"/>
      <c r="D5" s="19"/>
      <c r="E5" s="19"/>
      <c r="F5" s="20"/>
      <c r="G5" s="20"/>
      <c r="H5" s="21" t="str">
        <f aca="false">IF(OR(F5="",G5=""),"",F5*G5)</f>
        <v/>
      </c>
      <c r="I5" s="22" t="str">
        <f aca="false">IF(H5="","",IF(H5&lt;=4,"Low",IF(H5&lt;=9,"Moderate",IF(H5&lt;=15,"High","Very High"))))</f>
        <v/>
      </c>
      <c r="J5" s="19"/>
      <c r="K5" s="19"/>
      <c r="L5" s="19"/>
      <c r="M5" s="19"/>
    </row>
    <row r="6" customFormat="false" ht="33.75" hidden="false" customHeight="true" outlineLevel="0" collapsed="false">
      <c r="A6" s="7" t="s">
        <v>82</v>
      </c>
      <c r="B6" s="19"/>
      <c r="C6" s="19"/>
      <c r="D6" s="19"/>
      <c r="E6" s="19"/>
      <c r="F6" s="20"/>
      <c r="G6" s="20"/>
      <c r="H6" s="21" t="str">
        <f aca="false">IF(OR(F6="",G6=""),"",F6*G6)</f>
        <v/>
      </c>
      <c r="I6" s="22" t="str">
        <f aca="false">IF(H6="","",IF(H6&lt;=4,"Low",IF(H6&lt;=9,"Moderate",IF(H6&lt;=15,"High","Very High"))))</f>
        <v/>
      </c>
      <c r="J6" s="19"/>
      <c r="K6" s="19"/>
      <c r="L6" s="19"/>
      <c r="M6" s="19"/>
    </row>
    <row r="7" customFormat="false" ht="33.75" hidden="false" customHeight="true" outlineLevel="0" collapsed="false">
      <c r="A7" s="7" t="s">
        <v>83</v>
      </c>
      <c r="B7" s="19"/>
      <c r="C7" s="19"/>
      <c r="D7" s="19"/>
      <c r="E7" s="19"/>
      <c r="F7" s="20"/>
      <c r="G7" s="20"/>
      <c r="H7" s="21" t="str">
        <f aca="false">IF(OR(F7="",G7=""),"",F7*G7)</f>
        <v/>
      </c>
      <c r="I7" s="22" t="str">
        <f aca="false">IF(H7="","",IF(H7&lt;=4,"Low",IF(H7&lt;=9,"Moderate",IF(H7&lt;=15,"High","Very High"))))</f>
        <v/>
      </c>
      <c r="J7" s="19"/>
      <c r="K7" s="19"/>
      <c r="L7" s="19"/>
      <c r="M7" s="19"/>
    </row>
    <row r="8" customFormat="false" ht="33.75" hidden="false" customHeight="true" outlineLevel="0" collapsed="false">
      <c r="A8" s="7" t="s">
        <v>84</v>
      </c>
      <c r="B8" s="19"/>
      <c r="C8" s="19"/>
      <c r="D8" s="19"/>
      <c r="E8" s="19"/>
      <c r="F8" s="20"/>
      <c r="G8" s="20"/>
      <c r="H8" s="21" t="str">
        <f aca="false">IF(OR(F8="",G8=""),"",F8*G8)</f>
        <v/>
      </c>
      <c r="I8" s="22" t="str">
        <f aca="false">IF(H8="","",IF(H8&lt;=4,"Low",IF(H8&lt;=9,"Moderate",IF(H8&lt;=15,"High","Very High"))))</f>
        <v/>
      </c>
      <c r="J8" s="19"/>
      <c r="K8" s="19"/>
      <c r="L8" s="19"/>
      <c r="M8" s="19"/>
    </row>
    <row r="9" customFormat="false" ht="33.75" hidden="false" customHeight="true" outlineLevel="0" collapsed="false">
      <c r="A9" s="7" t="s">
        <v>85</v>
      </c>
      <c r="B9" s="19"/>
      <c r="C9" s="19"/>
      <c r="D9" s="19"/>
      <c r="E9" s="19"/>
      <c r="F9" s="20"/>
      <c r="G9" s="20"/>
      <c r="H9" s="21" t="str">
        <f aca="false">IF(OR(F9="",G9=""),"",F9*G9)</f>
        <v/>
      </c>
      <c r="I9" s="22" t="str">
        <f aca="false">IF(H9="","",IF(H9&lt;=4,"Low",IF(H9&lt;=9,"Moderate",IF(H9&lt;=15,"High","Very High"))))</f>
        <v/>
      </c>
      <c r="J9" s="19"/>
      <c r="K9" s="19"/>
      <c r="L9" s="19"/>
      <c r="M9" s="19"/>
    </row>
    <row r="10" customFormat="false" ht="33.75" hidden="false" customHeight="true" outlineLevel="0" collapsed="false">
      <c r="A10" s="7" t="s">
        <v>86</v>
      </c>
      <c r="B10" s="19"/>
      <c r="C10" s="19"/>
      <c r="D10" s="19"/>
      <c r="E10" s="19"/>
      <c r="F10" s="20"/>
      <c r="G10" s="20"/>
      <c r="H10" s="21" t="str">
        <f aca="false">IF(OR(F10="",G10=""),"",F10*G10)</f>
        <v/>
      </c>
      <c r="I10" s="22" t="str">
        <f aca="false">IF(H10="","",IF(H10&lt;=4,"Low",IF(H10&lt;=9,"Moderate",IF(H10&lt;=15,"High","Very High"))))</f>
        <v/>
      </c>
      <c r="J10" s="19"/>
      <c r="K10" s="19"/>
      <c r="L10" s="19"/>
      <c r="M10" s="19"/>
    </row>
    <row r="11" customFormat="false" ht="33.75" hidden="false" customHeight="true" outlineLevel="0" collapsed="false">
      <c r="A11" s="7" t="s">
        <v>87</v>
      </c>
      <c r="B11" s="19"/>
      <c r="C11" s="19"/>
      <c r="D11" s="19"/>
      <c r="E11" s="19"/>
      <c r="F11" s="20"/>
      <c r="G11" s="20"/>
      <c r="H11" s="21" t="str">
        <f aca="false">IF(OR(F11="",G11=""),"",F11*G11)</f>
        <v/>
      </c>
      <c r="I11" s="22" t="str">
        <f aca="false">IF(H11="","",IF(H11&lt;=4,"Low",IF(H11&lt;=9,"Moderate",IF(H11&lt;=15,"High","Very High"))))</f>
        <v/>
      </c>
      <c r="J11" s="19"/>
      <c r="K11" s="19"/>
      <c r="L11" s="19"/>
      <c r="M11" s="19"/>
    </row>
    <row r="12" customFormat="false" ht="33.75" hidden="false" customHeight="true" outlineLevel="0" collapsed="false">
      <c r="A12" s="7" t="s">
        <v>88</v>
      </c>
      <c r="B12" s="19"/>
      <c r="C12" s="19"/>
      <c r="D12" s="19"/>
      <c r="E12" s="19"/>
      <c r="F12" s="20"/>
      <c r="G12" s="20"/>
      <c r="H12" s="21" t="str">
        <f aca="false">IF(OR(F12="",G12=""),"",F12*G12)</f>
        <v/>
      </c>
      <c r="I12" s="22" t="str">
        <f aca="false">IF(H12="","",IF(H12&lt;=4,"Low",IF(H12&lt;=9,"Moderate",IF(H12&lt;=15,"High","Very High"))))</f>
        <v/>
      </c>
      <c r="J12" s="19"/>
      <c r="K12" s="19"/>
      <c r="L12" s="19"/>
      <c r="M12" s="19"/>
    </row>
    <row r="13" customFormat="false" ht="33.75" hidden="false" customHeight="true" outlineLevel="0" collapsed="false">
      <c r="A13" s="7" t="s">
        <v>89</v>
      </c>
      <c r="B13" s="19"/>
      <c r="C13" s="19"/>
      <c r="D13" s="19"/>
      <c r="E13" s="19"/>
      <c r="F13" s="20"/>
      <c r="G13" s="20"/>
      <c r="H13" s="21" t="str">
        <f aca="false">IF(OR(F13="",G13=""),"",F13*G13)</f>
        <v/>
      </c>
      <c r="I13" s="22" t="str">
        <f aca="false">IF(H13="","",IF(H13&lt;=4,"Low",IF(H13&lt;=9,"Moderate",IF(H13&lt;=15,"High","Very High"))))</f>
        <v/>
      </c>
      <c r="J13" s="19"/>
      <c r="K13" s="19"/>
      <c r="L13" s="19"/>
      <c r="M13" s="19"/>
    </row>
    <row r="14" customFormat="false" ht="33.75" hidden="false" customHeight="true" outlineLevel="0" collapsed="false">
      <c r="A14" s="7" t="s">
        <v>90</v>
      </c>
      <c r="B14" s="19"/>
      <c r="C14" s="19"/>
      <c r="D14" s="19"/>
      <c r="E14" s="19"/>
      <c r="F14" s="20"/>
      <c r="G14" s="20"/>
      <c r="H14" s="21" t="str">
        <f aca="false">IF(OR(F14="",G14=""),"",F14*G14)</f>
        <v/>
      </c>
      <c r="I14" s="22" t="str">
        <f aca="false">IF(H14="","",IF(H14&lt;=4,"Low",IF(H14&lt;=9,"Moderate",IF(H14&lt;=15,"High","Very High"))))</f>
        <v/>
      </c>
      <c r="J14" s="19"/>
      <c r="K14" s="19"/>
      <c r="L14" s="19"/>
      <c r="M14" s="19"/>
    </row>
    <row r="15" customFormat="false" ht="33.75" hidden="false" customHeight="true" outlineLevel="0" collapsed="false">
      <c r="A15" s="7" t="s">
        <v>91</v>
      </c>
      <c r="B15" s="19"/>
      <c r="C15" s="19"/>
      <c r="D15" s="19"/>
      <c r="E15" s="19"/>
      <c r="F15" s="20"/>
      <c r="G15" s="20"/>
      <c r="H15" s="21" t="str">
        <f aca="false">IF(OR(F15="",G15=""),"",F15*G15)</f>
        <v/>
      </c>
      <c r="I15" s="22" t="str">
        <f aca="false">IF(H15="","",IF(H15&lt;=4,"Low",IF(H15&lt;=9,"Moderate",IF(H15&lt;=15,"High","Very High"))))</f>
        <v/>
      </c>
      <c r="J15" s="19"/>
      <c r="K15" s="19"/>
      <c r="L15" s="19"/>
      <c r="M15" s="19"/>
    </row>
    <row r="16" customFormat="false" ht="33.75" hidden="false" customHeight="true" outlineLevel="0" collapsed="false">
      <c r="A16" s="7" t="s">
        <v>92</v>
      </c>
      <c r="B16" s="19"/>
      <c r="C16" s="19"/>
      <c r="D16" s="19"/>
      <c r="E16" s="19"/>
      <c r="F16" s="20"/>
      <c r="G16" s="20"/>
      <c r="H16" s="21" t="str">
        <f aca="false">IF(OR(F16="",G16=""),"",F16*G16)</f>
        <v/>
      </c>
      <c r="I16" s="22" t="str">
        <f aca="false">IF(H16="","",IF(H16&lt;=4,"Low",IF(H16&lt;=9,"Moderate",IF(H16&lt;=15,"High","Very High"))))</f>
        <v/>
      </c>
      <c r="J16" s="19"/>
      <c r="K16" s="19"/>
      <c r="L16" s="19"/>
      <c r="M16" s="19"/>
    </row>
    <row r="17" customFormat="false" ht="33.75" hidden="false" customHeight="true" outlineLevel="0" collapsed="false">
      <c r="A17" s="7" t="s">
        <v>93</v>
      </c>
      <c r="B17" s="19"/>
      <c r="C17" s="19"/>
      <c r="D17" s="19"/>
      <c r="E17" s="19"/>
      <c r="F17" s="20"/>
      <c r="G17" s="20"/>
      <c r="H17" s="21" t="str">
        <f aca="false">IF(OR(F17="",G17=""),"",F17*G17)</f>
        <v/>
      </c>
      <c r="I17" s="22" t="str">
        <f aca="false">IF(H17="","",IF(H17&lt;=4,"Low",IF(H17&lt;=9,"Moderate",IF(H17&lt;=15,"High","Very High"))))</f>
        <v/>
      </c>
      <c r="J17" s="19"/>
      <c r="K17" s="19"/>
      <c r="L17" s="19"/>
      <c r="M17" s="19"/>
    </row>
    <row r="18" customFormat="false" ht="33.75" hidden="false" customHeight="true" outlineLevel="0" collapsed="false">
      <c r="A18" s="7" t="s">
        <v>94</v>
      </c>
      <c r="B18" s="19"/>
      <c r="C18" s="19"/>
      <c r="D18" s="19"/>
      <c r="E18" s="19"/>
      <c r="F18" s="20"/>
      <c r="G18" s="20"/>
      <c r="H18" s="21" t="str">
        <f aca="false">IF(OR(F18="",G18=""),"",F18*G18)</f>
        <v/>
      </c>
      <c r="I18" s="22" t="str">
        <f aca="false">IF(H18="","",IF(H18&lt;=4,"Low",IF(H18&lt;=9,"Moderate",IF(H18&lt;=15,"High","Very High"))))</f>
        <v/>
      </c>
      <c r="J18" s="19"/>
      <c r="K18" s="19"/>
      <c r="L18" s="19"/>
      <c r="M18" s="19"/>
    </row>
    <row r="19" customFormat="false" ht="33.75" hidden="false" customHeight="true" outlineLevel="0" collapsed="false">
      <c r="A19" s="7" t="s">
        <v>95</v>
      </c>
      <c r="B19" s="19"/>
      <c r="C19" s="19"/>
      <c r="D19" s="19"/>
      <c r="E19" s="19"/>
      <c r="F19" s="20"/>
      <c r="G19" s="20"/>
      <c r="H19" s="21" t="str">
        <f aca="false">IF(OR(F19="",G19=""),"",F19*G19)</f>
        <v/>
      </c>
      <c r="I19" s="22" t="str">
        <f aca="false">IF(H19="","",IF(H19&lt;=4,"Low",IF(H19&lt;=9,"Moderate",IF(H19&lt;=15,"High","Very High"))))</f>
        <v/>
      </c>
      <c r="J19" s="19"/>
      <c r="K19" s="19"/>
      <c r="L19" s="19"/>
      <c r="M19" s="19"/>
    </row>
  </sheetData>
  <mergeCells count="2">
    <mergeCell ref="A1:M1"/>
    <mergeCell ref="A2:M2"/>
  </mergeCells>
  <conditionalFormatting sqref="I5:I19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"Moderate"</formula>
    </cfRule>
    <cfRule type="cellIs" priority="4" operator="equal" aboveAverage="0" equalAverage="0" bottom="0" percent="0" rank="0" text="" dxfId="2">
      <formula>"High"</formula>
    </cfRule>
    <cfRule type="cellIs" priority="5" operator="equal" aboveAverage="0" equalAverage="0" bottom="0" percent="0" rank="0" text="" dxfId="3">
      <formula>"Very High"</formula>
    </cfRule>
  </conditionalFormatting>
  <dataValidations count="2">
    <dataValidation allowBlank="true" errorStyle="stop" operator="between" showDropDown="false" showErrorMessage="false" showInputMessage="false" sqref="F5:G19" type="list">
      <formula1>"1,2,3,4,5"</formula1>
      <formula2>0</formula2>
    </dataValidation>
    <dataValidation allowBlank="true" errorStyle="stop" operator="between" showDropDown="false" showErrorMessage="false" showInputMessage="false" sqref="M5:M19" type="list">
      <formula1>"Open,In Progress,Mitigated,Accepted,Transferred,Closed"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2026-09-16T06:04:48Z</dcterms:created>
  <dc:creator>openpyxl</dc:creator>
  <dc:description/>
  <dc:language>en-US</dc:language>
  <cp:lastModifiedBy/>
  <dcterms:modified xsi:type="dcterms:W3CDTF">2026-09-16T06:05:00Z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